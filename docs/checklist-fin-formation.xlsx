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'Checklist'!$A$3:$J$71</definedName>
    <definedName name="_xlnm.Print_Titles" localSheetId="0">'Checklist'!$3:$3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6" customWidth="1" min="4" max="4"/>
    <col width="58" customWidth="1" min="5" max="5"/>
    <col width="32" customWidth="1" min="6" max="6"/>
    <col width="12" customWidth="1" min="7" max="7"/>
    <col width="12" customWidth="1" min="8" max="8"/>
    <col width="14" customWidth="1" min="9" max="9"/>
    <col width="36" customWidth="1" min="10" max="10"/>
  </cols>
  <sheetData>
    <row r="1">
      <c r="A1" s="1" t="inlineStr">
        <is>
          <t>CHECK-LIST DE FIN DE FORMATION — ANGEL'S GROUP</t>
        </is>
      </c>
    </row>
    <row r="2">
      <c r="A2" t="inlineStr">
        <is>
          <t>Stagiaire :</t>
        </is>
      </c>
      <c r="B2" t="inlineStr"/>
      <c r="C2" t="inlineStr"/>
      <c r="D2" t="inlineStr">
        <is>
          <t>Fonction :</t>
        </is>
      </c>
      <c r="E2" t="inlineStr"/>
      <c r="F2" t="inlineStr">
        <is>
          <t>Date :</t>
        </is>
      </c>
      <c r="G2" t="inlineStr"/>
      <c r="H2" t="inlineStr"/>
      <c r="I2" t="inlineStr">
        <is>
          <t>Formateur :</t>
        </is>
      </c>
      <c r="J2" t="inlineStr"/>
    </row>
    <row r="3">
      <c r="A3" s="2" t="inlineStr">
        <is>
          <t>N°</t>
        </is>
      </c>
      <c r="B3" s="2" t="inlineStr">
        <is>
          <t>Module concerné</t>
        </is>
      </c>
      <c r="C3" s="2" t="inlineStr">
        <is>
          <t>Sous-module</t>
        </is>
      </c>
      <c r="D3" s="2" t="inlineStr">
        <is>
          <t>Acteur</t>
        </is>
      </c>
      <c r="E3" s="2" t="inlineStr">
        <is>
          <t>Point à valider</t>
        </is>
      </c>
      <c r="F3" s="2" t="inlineStr">
        <is>
          <t>Application / écran</t>
        </is>
      </c>
      <c r="G3" s="2" t="inlineStr">
        <is>
          <t>Acquis</t>
        </is>
      </c>
      <c r="H3" s="2" t="inlineStr">
        <is>
          <t>Date</t>
        </is>
      </c>
      <c r="I3" s="2" t="inlineStr">
        <is>
          <t>Formateur</t>
        </is>
      </c>
      <c r="J3" s="2" t="inlineStr">
        <is>
          <t>Observations</t>
        </is>
      </c>
    </row>
    <row r="4">
      <c r="A4" s="3" t="n">
        <v>1</v>
      </c>
      <c r="B4" s="3" t="inlineStr">
        <is>
          <t>Livraison (Distributions)</t>
        </is>
      </c>
      <c r="C4" s="3" t="inlineStr">
        <is>
          <t>Commandes</t>
        </is>
      </c>
      <c r="D4" s="3" t="inlineStr">
        <is>
          <t>Responsable commercial</t>
        </is>
      </c>
      <c r="E4" s="3" t="inlineStr">
        <is>
          <t>Créer, confirmer et importer une commande</t>
        </is>
      </c>
      <c r="F4" s="3" t="inlineStr">
        <is>
          <t>distribution.html &gt; Commandes</t>
        </is>
      </c>
      <c r="G4" s="3" t="inlineStr"/>
      <c r="H4" s="3" t="inlineStr"/>
      <c r="I4" s="3" t="inlineStr"/>
      <c r="J4" s="3" t="inlineStr"/>
    </row>
    <row r="5">
      <c r="A5" s="3" t="n">
        <v>2</v>
      </c>
      <c r="B5" s="3" t="inlineStr">
        <is>
          <t>Livraison (Distributions)</t>
        </is>
      </c>
      <c r="C5" s="3" t="inlineStr">
        <is>
          <t>Commandes</t>
        </is>
      </c>
      <c r="D5" s="3" t="inlineStr">
        <is>
          <t>Responsable commercial</t>
        </is>
      </c>
      <c r="E5" s="3" t="inlineStr">
        <is>
          <t>Gérer clients et vendeurs partenaires (fiche, candidature)</t>
        </is>
      </c>
      <c r="F5" s="3" t="inlineStr">
        <is>
          <t>distribution.html &gt; Tiers</t>
        </is>
      </c>
      <c r="G5" s="3" t="inlineStr"/>
      <c r="H5" s="3" t="inlineStr"/>
      <c r="I5" s="3" t="inlineStr"/>
      <c r="J5" s="3" t="inlineStr"/>
    </row>
    <row r="6">
      <c r="A6" s="3" t="n">
        <v>3</v>
      </c>
      <c r="B6" s="3" t="inlineStr">
        <is>
          <t>Livraison (Distributions)</t>
        </is>
      </c>
      <c r="C6" s="3" t="inlineStr">
        <is>
          <t>Commandes</t>
        </is>
      </c>
      <c r="D6" s="3" t="inlineStr">
        <is>
          <t>Responsable commercial</t>
        </is>
      </c>
      <c r="E6" s="3" t="inlineStr">
        <is>
          <t>Établir facture, reçu, avoir</t>
        </is>
      </c>
      <c r="F6" s="3" t="inlineStr">
        <is>
          <t>distribution.html &gt; Documents</t>
        </is>
      </c>
      <c r="G6" s="3" t="inlineStr"/>
      <c r="H6" s="3" t="inlineStr"/>
      <c r="I6" s="3" t="inlineStr"/>
      <c r="J6" s="3" t="inlineStr"/>
    </row>
    <row r="7">
      <c r="A7" s="3" t="n">
        <v>4</v>
      </c>
      <c r="B7" s="3" t="inlineStr">
        <is>
          <t>Livraison (Distributions)</t>
        </is>
      </c>
      <c r="C7" s="3" t="inlineStr">
        <is>
          <t>Commandes</t>
        </is>
      </c>
      <c r="D7" s="3" t="inlineStr">
        <is>
          <t>Client</t>
        </is>
      </c>
      <c r="E7" s="3" t="inlineStr">
        <is>
          <t>Programmer une livraison depuis le portail</t>
        </is>
      </c>
      <c r="F7" s="3" t="inlineStr">
        <is>
          <t>portail.html</t>
        </is>
      </c>
      <c r="G7" s="3" t="inlineStr"/>
      <c r="H7" s="3" t="inlineStr"/>
      <c r="I7" s="3" t="inlineStr"/>
      <c r="J7" s="3" t="inlineStr"/>
    </row>
    <row r="8">
      <c r="A8" s="3" t="n">
        <v>5</v>
      </c>
      <c r="B8" s="3" t="inlineStr">
        <is>
          <t>Livraison (Distributions)</t>
        </is>
      </c>
      <c r="C8" s="3" t="inlineStr">
        <is>
          <t>Commandes</t>
        </is>
      </c>
      <c r="D8" s="3" t="inlineStr">
        <is>
          <t>Client</t>
        </is>
      </c>
      <c r="E8" s="3" t="inlineStr">
        <is>
          <t>Suivre sa livraison et signer la réception</t>
        </is>
      </c>
      <c r="F8" s="3" t="inlineStr">
        <is>
          <t>lien.html / signer.html</t>
        </is>
      </c>
      <c r="G8" s="3" t="inlineStr"/>
      <c r="H8" s="3" t="inlineStr"/>
      <c r="I8" s="3" t="inlineStr"/>
      <c r="J8" s="3" t="inlineStr"/>
    </row>
    <row r="9">
      <c r="A9" s="3" t="n">
        <v>6</v>
      </c>
      <c r="B9" s="3" t="inlineStr">
        <is>
          <t>Livraison (Distributions)</t>
        </is>
      </c>
      <c r="C9" s="3" t="inlineStr">
        <is>
          <t>Stock et préparation</t>
        </is>
      </c>
      <c r="D9" s="3" t="inlineStr">
        <is>
          <t>Préparateur</t>
        </is>
      </c>
      <c r="E9" s="3" t="inlineStr">
        <is>
          <t>Préparer commande, imprimer étiquettes colis</t>
        </is>
      </c>
      <c r="F9" s="3" t="inlineStr">
        <is>
          <t>Commandes &gt; Préparation</t>
        </is>
      </c>
      <c r="G9" s="3" t="inlineStr"/>
      <c r="H9" s="3" t="inlineStr"/>
      <c r="I9" s="3" t="inlineStr"/>
      <c r="J9" s="3" t="inlineStr"/>
    </row>
    <row r="10">
      <c r="A10" s="3" t="n">
        <v>7</v>
      </c>
      <c r="B10" s="3" t="inlineStr">
        <is>
          <t>Livraison (Distributions)</t>
        </is>
      </c>
      <c r="C10" s="3" t="inlineStr">
        <is>
          <t>Stock et préparation</t>
        </is>
      </c>
      <c r="D10" s="3" t="inlineStr">
        <is>
          <t>Préparateur</t>
        </is>
      </c>
      <c r="E10" s="3" t="inlineStr">
        <is>
          <t>Réceptionner collectes et retours de colis</t>
        </is>
      </c>
      <c r="F10" s="3" t="inlineStr">
        <is>
          <t>Centre de livraison &gt; Collectes / Retours</t>
        </is>
      </c>
      <c r="G10" s="3" t="inlineStr"/>
      <c r="H10" s="3" t="inlineStr"/>
      <c r="I10" s="3" t="inlineStr"/>
      <c r="J10" s="3" t="inlineStr"/>
    </row>
    <row r="11">
      <c r="A11" s="3" t="n">
        <v>8</v>
      </c>
      <c r="B11" s="3" t="inlineStr">
        <is>
          <t>Livraison (Distributions)</t>
        </is>
      </c>
      <c r="C11" s="3" t="inlineStr">
        <is>
          <t>Stock et préparation</t>
        </is>
      </c>
      <c r="D11" s="3" t="inlineStr">
        <is>
          <t>Préparateur</t>
        </is>
      </c>
      <c r="E11" s="3" t="inlineStr">
        <is>
          <t>Saisir entrées de stock et inventaire</t>
        </is>
      </c>
      <c r="F11" s="3" t="inlineStr">
        <is>
          <t>Produits et stock</t>
        </is>
      </c>
      <c r="G11" s="3" t="inlineStr"/>
      <c r="H11" s="3" t="inlineStr"/>
      <c r="I11" s="3" t="inlineStr"/>
      <c r="J11" s="3" t="inlineStr"/>
    </row>
    <row r="12">
      <c r="A12" s="3" t="n">
        <v>9</v>
      </c>
      <c r="B12" s="3" t="inlineStr">
        <is>
          <t>Livraison (Distributions)</t>
        </is>
      </c>
      <c r="C12" s="3" t="inlineStr">
        <is>
          <t>Stock et préparation</t>
        </is>
      </c>
      <c r="D12" s="3" t="inlineStr">
        <is>
          <t>Responsable commercial</t>
        </is>
      </c>
      <c r="E12" s="3" t="inlineStr">
        <is>
          <t>Créer produits, traiter candidatures vendeurs</t>
        </is>
      </c>
      <c r="F12" s="3" t="inlineStr">
        <is>
          <t>Produits et stock</t>
        </is>
      </c>
      <c r="G12" s="3" t="inlineStr"/>
      <c r="H12" s="3" t="inlineStr"/>
      <c r="I12" s="3" t="inlineStr"/>
      <c r="J12" s="3" t="inlineStr"/>
    </row>
    <row r="13">
      <c r="A13" s="3" t="n">
        <v>10</v>
      </c>
      <c r="B13" s="3" t="inlineStr">
        <is>
          <t>Livraison (Distributions)</t>
        </is>
      </c>
      <c r="C13" s="3" t="inlineStr">
        <is>
          <t>Livraison</t>
        </is>
      </c>
      <c r="D13" s="3" t="inlineStr">
        <is>
          <t>Superviseur des livraisons</t>
        </is>
      </c>
      <c r="E13" s="3" t="inlineStr">
        <is>
          <t>Affecter livreur, planifier collecte, suivre course</t>
        </is>
      </c>
      <c r="F13" s="3" t="inlineStr">
        <is>
          <t>Centre de livraison</t>
        </is>
      </c>
      <c r="G13" s="3" t="inlineStr"/>
      <c r="H13" s="3" t="inlineStr"/>
      <c r="I13" s="3" t="inlineStr"/>
      <c r="J13" s="3" t="inlineStr"/>
    </row>
    <row r="14">
      <c r="A14" s="3" t="n">
        <v>11</v>
      </c>
      <c r="B14" s="3" t="inlineStr">
        <is>
          <t>Livraison (Distributions)</t>
        </is>
      </c>
      <c r="C14" s="3" t="inlineStr">
        <is>
          <t>Livraison</t>
        </is>
      </c>
      <c r="D14" s="3" t="inlineStr">
        <is>
          <t>Superviseur des livraisons</t>
        </is>
      </c>
      <c r="E14" s="3" t="inlineStr">
        <is>
          <t>Utiliser tour de contrôle et carte en direct</t>
        </is>
      </c>
      <c r="F14" s="3" t="inlineStr">
        <is>
          <t>Centre &gt; Tour de contrôle</t>
        </is>
      </c>
      <c r="G14" s="3" t="inlineStr"/>
      <c r="H14" s="3" t="inlineStr"/>
      <c r="I14" s="3" t="inlineStr"/>
      <c r="J14" s="3" t="inlineStr"/>
    </row>
    <row r="15">
      <c r="A15" s="3" t="n">
        <v>12</v>
      </c>
      <c r="B15" s="3" t="inlineStr">
        <is>
          <t>Livraison (Distributions)</t>
        </is>
      </c>
      <c r="C15" s="3" t="inlineStr">
        <is>
          <t>Livraison</t>
        </is>
      </c>
      <c r="D15" s="3" t="inlineStr">
        <is>
          <t>Superviseur des livraisons</t>
        </is>
      </c>
      <c r="E15" s="3" t="inlineStr">
        <is>
          <t>Traiter échecs, retours, incidents</t>
        </is>
      </c>
      <c r="F15" s="3" t="inlineStr">
        <is>
          <t>Centre &gt; Échecs et retours</t>
        </is>
      </c>
      <c r="G15" s="3" t="inlineStr"/>
      <c r="H15" s="3" t="inlineStr"/>
      <c r="I15" s="3" t="inlineStr"/>
      <c r="J15" s="3" t="inlineStr"/>
    </row>
    <row r="16">
      <c r="A16" s="3" t="n">
        <v>13</v>
      </c>
      <c r="B16" s="3" t="inlineStr">
        <is>
          <t>Livraison (Distributions)</t>
        </is>
      </c>
      <c r="C16" s="3" t="inlineStr">
        <is>
          <t>Livraison</t>
        </is>
      </c>
      <c r="D16" s="3" t="inlineStr">
        <is>
          <t>Superviseur des livraisons</t>
        </is>
      </c>
      <c r="E16" s="3" t="inlineStr">
        <is>
          <t>Recevoir et traiter une alerte SOS</t>
        </is>
      </c>
      <c r="F16" s="3" t="inlineStr">
        <is>
          <t>Pilotage &gt; SOS</t>
        </is>
      </c>
      <c r="G16" s="3" t="inlineStr"/>
      <c r="H16" s="3" t="inlineStr"/>
      <c r="I16" s="3" t="inlineStr"/>
      <c r="J16" s="3" t="inlineStr"/>
    </row>
    <row r="17">
      <c r="A17" s="3" t="n">
        <v>14</v>
      </c>
      <c r="B17" s="3" t="inlineStr">
        <is>
          <t>Livraison (Distributions)</t>
        </is>
      </c>
      <c r="C17" s="3" t="inlineStr">
        <is>
          <t>Livraison</t>
        </is>
      </c>
      <c r="D17" s="3" t="inlineStr">
        <is>
          <t>Superviseur des livraisons</t>
        </is>
      </c>
      <c r="E17" s="3" t="inlineStr">
        <is>
          <t>Clôturer la journée du centre</t>
        </is>
      </c>
      <c r="F17" s="3" t="inlineStr">
        <is>
          <t>Centre &gt; Clôture</t>
        </is>
      </c>
      <c r="G17" s="3" t="inlineStr"/>
      <c r="H17" s="3" t="inlineStr"/>
      <c r="I17" s="3" t="inlineStr"/>
      <c r="J17" s="3" t="inlineStr"/>
    </row>
    <row r="18">
      <c r="A18" s="3" t="n">
        <v>15</v>
      </c>
      <c r="B18" s="3" t="inlineStr">
        <is>
          <t>Livraison (Distributions)</t>
        </is>
      </c>
      <c r="C18" s="3" t="inlineStr">
        <is>
          <t>Livraison</t>
        </is>
      </c>
      <c r="D18" s="3" t="inlineStr">
        <is>
          <t>Superviseur des livraisons</t>
        </is>
      </c>
      <c r="E18" s="3" t="inlineStr">
        <is>
          <t>Gérer livreurs, motos, équipements, maintenance</t>
        </is>
      </c>
      <c r="F18" s="3" t="inlineStr">
        <is>
          <t>Livreurs et motos / GMAO</t>
        </is>
      </c>
      <c r="G18" s="3" t="inlineStr"/>
      <c r="H18" s="3" t="inlineStr"/>
      <c r="I18" s="3" t="inlineStr"/>
      <c r="J18" s="3" t="inlineStr"/>
    </row>
    <row r="19">
      <c r="A19" s="3" t="n">
        <v>16</v>
      </c>
      <c r="B19" s="3" t="inlineStr">
        <is>
          <t>Livraison (Distributions)</t>
        </is>
      </c>
      <c r="C19" s="3" t="inlineStr">
        <is>
          <t>Livraison</t>
        </is>
      </c>
      <c r="D19" s="3" t="inlineStr">
        <is>
          <t>Livreur</t>
        </is>
      </c>
      <c r="E19" s="3" t="inlineStr">
        <is>
          <t>Installer l'application et se connecter</t>
        </is>
      </c>
      <c r="F19" s="3" t="inlineStr">
        <is>
          <t>livreur.html (PWA)</t>
        </is>
      </c>
      <c r="G19" s="3" t="inlineStr"/>
      <c r="H19" s="3" t="inlineStr"/>
      <c r="I19" s="3" t="inlineStr"/>
      <c r="J19" s="3" t="inlineStr"/>
    </row>
    <row r="20">
      <c r="A20" s="3" t="n">
        <v>17</v>
      </c>
      <c r="B20" s="3" t="inlineStr">
        <is>
          <t>Livraison (Distributions)</t>
        </is>
      </c>
      <c r="C20" s="3" t="inlineStr">
        <is>
          <t>Livraison</t>
        </is>
      </c>
      <c r="D20" s="3" t="inlineStr">
        <is>
          <t>Livreur</t>
        </is>
      </c>
      <c r="E20" s="3" t="inlineStr">
        <is>
          <t>Accepter une mission, statuts de la course</t>
        </is>
      </c>
      <c r="F20" s="3" t="inlineStr">
        <is>
          <t>livreur.html &gt; Missions</t>
        </is>
      </c>
      <c r="G20" s="3" t="inlineStr"/>
      <c r="H20" s="3" t="inlineStr"/>
      <c r="I20" s="3" t="inlineStr"/>
      <c r="J20" s="3" t="inlineStr"/>
    </row>
    <row r="21">
      <c r="A21" s="3" t="n">
        <v>18</v>
      </c>
      <c r="B21" s="3" t="inlineStr">
        <is>
          <t>Livraison (Distributions)</t>
        </is>
      </c>
      <c r="C21" s="3" t="inlineStr">
        <is>
          <t>Livraison</t>
        </is>
      </c>
      <c r="D21" s="3" t="inlineStr">
        <is>
          <t>Livreur</t>
        </is>
      </c>
      <c r="E21" s="3" t="inlineStr">
        <is>
          <t>Appeler le client, partager sa position</t>
        </is>
      </c>
      <c r="F21" s="3" t="inlineStr">
        <is>
          <t>livreur.html</t>
        </is>
      </c>
      <c r="G21" s="3" t="inlineStr"/>
      <c r="H21" s="3" t="inlineStr"/>
      <c r="I21" s="3" t="inlineStr"/>
      <c r="J21" s="3" t="inlineStr"/>
    </row>
    <row r="22">
      <c r="A22" s="3" t="n">
        <v>19</v>
      </c>
      <c r="B22" s="3" t="inlineStr">
        <is>
          <t>Livraison (Distributions)</t>
        </is>
      </c>
      <c r="C22" s="3" t="inlineStr">
        <is>
          <t>Livraison</t>
        </is>
      </c>
      <c r="D22" s="3" t="inlineStr">
        <is>
          <t>Livreur</t>
        </is>
      </c>
      <c r="E22" s="3" t="inlineStr">
        <is>
          <t>Obtenir signature et photo de preuve</t>
        </is>
      </c>
      <c r="F22" s="3" t="inlineStr">
        <is>
          <t>livreur.html &gt; Preuve</t>
        </is>
      </c>
      <c r="G22" s="3" t="inlineStr"/>
      <c r="H22" s="3" t="inlineStr"/>
      <c r="I22" s="3" t="inlineStr"/>
      <c r="J22" s="3" t="inlineStr"/>
    </row>
    <row r="23">
      <c r="A23" s="3" t="n">
        <v>20</v>
      </c>
      <c r="B23" s="3" t="inlineStr">
        <is>
          <t>Livraison (Distributions)</t>
        </is>
      </c>
      <c r="C23" s="3" t="inlineStr">
        <is>
          <t>Livraison</t>
        </is>
      </c>
      <c r="D23" s="3" t="inlineStr">
        <is>
          <t>Livreur</t>
        </is>
      </c>
      <c r="E23" s="3" t="inlineStr">
        <is>
          <t>Déclarer échec ou retour avec motif</t>
        </is>
      </c>
      <c r="F23" s="3" t="inlineStr">
        <is>
          <t>livreur.html</t>
        </is>
      </c>
      <c r="G23" s="3" t="inlineStr"/>
      <c r="H23" s="3" t="inlineStr"/>
      <c r="I23" s="3" t="inlineStr"/>
      <c r="J23" s="3" t="inlineStr"/>
    </row>
    <row r="24">
      <c r="A24" s="3" t="n">
        <v>21</v>
      </c>
      <c r="B24" s="3" t="inlineStr">
        <is>
          <t>Livraison (Distributions)</t>
        </is>
      </c>
      <c r="C24" s="3" t="inlineStr">
        <is>
          <t>Livraison</t>
        </is>
      </c>
      <c r="D24" s="3" t="inlineStr">
        <is>
          <t>Livreur</t>
        </is>
      </c>
      <c r="E24" s="3" t="inlineStr">
        <is>
          <t>Encaisser contre-remboursement et verser</t>
        </is>
      </c>
      <c r="F24" s="3" t="inlineStr">
        <is>
          <t>livreur.html &gt; Argent</t>
        </is>
      </c>
      <c r="G24" s="3" t="inlineStr"/>
      <c r="H24" s="3" t="inlineStr"/>
      <c r="I24" s="3" t="inlineStr"/>
      <c r="J24" s="3" t="inlineStr"/>
    </row>
    <row r="25">
      <c r="A25" s="3" t="n">
        <v>22</v>
      </c>
      <c r="B25" s="3" t="inlineStr">
        <is>
          <t>Livraison (Distributions)</t>
        </is>
      </c>
      <c r="C25" s="3" t="inlineStr">
        <is>
          <t>Livraison</t>
        </is>
      </c>
      <c r="D25" s="3" t="inlineStr">
        <is>
          <t>Livreur</t>
        </is>
      </c>
      <c r="E25" s="3" t="inlineStr">
        <is>
          <t>Déclencher SOS en cas de danger</t>
        </is>
      </c>
      <c r="F25" s="3" t="inlineStr">
        <is>
          <t>livreur.html</t>
        </is>
      </c>
      <c r="G25" s="3" t="inlineStr"/>
      <c r="H25" s="3" t="inlineStr"/>
      <c r="I25" s="3" t="inlineStr"/>
      <c r="J25" s="3" t="inlineStr"/>
    </row>
    <row r="26">
      <c r="A26" s="3" t="n">
        <v>23</v>
      </c>
      <c r="B26" s="3" t="inlineStr">
        <is>
          <t>Livraison (Distributions)</t>
        </is>
      </c>
      <c r="C26" s="3" t="inlineStr">
        <is>
          <t>Livraison</t>
        </is>
      </c>
      <c r="D26" s="3" t="inlineStr">
        <is>
          <t>Livreur</t>
        </is>
      </c>
      <c r="E26" s="3" t="inlineStr">
        <is>
          <t>Travailler hors ligne puis resynchroniser</t>
        </is>
      </c>
      <c r="F26" s="3" t="inlineStr">
        <is>
          <t>livreur.html</t>
        </is>
      </c>
      <c r="G26" s="3" t="inlineStr"/>
      <c r="H26" s="3" t="inlineStr"/>
      <c r="I26" s="3" t="inlineStr"/>
      <c r="J26" s="3" t="inlineStr"/>
    </row>
    <row r="27">
      <c r="A27" s="3" t="n">
        <v>24</v>
      </c>
      <c r="B27" s="3" t="inlineStr">
        <is>
          <t>Livraison (Distributions)</t>
        </is>
      </c>
      <c r="C27" s="3" t="inlineStr">
        <is>
          <t>Livraison</t>
        </is>
      </c>
      <c r="D27" s="3" t="inlineStr">
        <is>
          <t>Vendeur partenaire</t>
        </is>
      </c>
      <c r="E27" s="3" t="inlineStr">
        <is>
          <t>Publier produits et saisir commandes</t>
        </is>
      </c>
      <c r="F27" s="3" t="inlineStr">
        <is>
          <t>vendeur.html</t>
        </is>
      </c>
      <c r="G27" s="3" t="inlineStr"/>
      <c r="H27" s="3" t="inlineStr"/>
      <c r="I27" s="3" t="inlineStr"/>
      <c r="J27" s="3" t="inlineStr"/>
    </row>
    <row r="28">
      <c r="A28" s="3" t="n">
        <v>25</v>
      </c>
      <c r="B28" s="3" t="inlineStr">
        <is>
          <t>Livraison (Distributions)</t>
        </is>
      </c>
      <c r="C28" s="3" t="inlineStr">
        <is>
          <t>Livraison</t>
        </is>
      </c>
      <c r="D28" s="3" t="inlineStr">
        <is>
          <t>Vendeur partenaire</t>
        </is>
      </c>
      <c r="E28" s="3" t="inlineStr">
        <is>
          <t>Imprimer étiquettes et suivre ses colis</t>
        </is>
      </c>
      <c r="F28" s="3" t="inlineStr">
        <is>
          <t>vendeur.html</t>
        </is>
      </c>
      <c r="G28" s="3" t="inlineStr"/>
      <c r="H28" s="3" t="inlineStr"/>
      <c r="I28" s="3" t="inlineStr"/>
      <c r="J28" s="3" t="inlineStr"/>
    </row>
    <row r="29">
      <c r="A29" s="3" t="n">
        <v>26</v>
      </c>
      <c r="B29" s="3" t="inlineStr">
        <is>
          <t>Livraison (Distributions)</t>
        </is>
      </c>
      <c r="C29" s="3" t="inlineStr">
        <is>
          <t>Livraison</t>
        </is>
      </c>
      <c r="D29" s="3" t="inlineStr">
        <is>
          <t>Vendeur partenaire</t>
        </is>
      </c>
      <c r="E29" s="3" t="inlineStr">
        <is>
          <t>Consulter son état et ses versements</t>
        </is>
      </c>
      <c r="F29" s="3" t="inlineStr">
        <is>
          <t>vendeur.html &gt; État</t>
        </is>
      </c>
      <c r="G29" s="3" t="inlineStr"/>
      <c r="H29" s="3" t="inlineStr"/>
      <c r="I29" s="3" t="inlineStr"/>
      <c r="J29" s="3" t="inlineStr"/>
    </row>
    <row r="30">
      <c r="A30" s="3" t="n">
        <v>27</v>
      </c>
      <c r="B30" s="3" t="inlineStr">
        <is>
          <t>Livraison (Distributions)</t>
        </is>
      </c>
      <c r="C30" s="3" t="inlineStr">
        <is>
          <t>Argent</t>
        </is>
      </c>
      <c r="D30" s="3" t="inlineStr">
        <is>
          <t>Caissier</t>
        </is>
      </c>
      <c r="E30" s="3" t="inlineStr">
        <is>
          <t>Ouvrir et clôturer la caisse, gérer écart</t>
        </is>
      </c>
      <c r="F30" s="3" t="inlineStr">
        <is>
          <t>Caisse</t>
        </is>
      </c>
      <c r="G30" s="3" t="inlineStr"/>
      <c r="H30" s="3" t="inlineStr"/>
      <c r="I30" s="3" t="inlineStr"/>
      <c r="J30" s="3" t="inlineStr"/>
    </row>
    <row r="31">
      <c r="A31" s="3" t="n">
        <v>28</v>
      </c>
      <c r="B31" s="3" t="inlineStr">
        <is>
          <t>Livraison (Distributions)</t>
        </is>
      </c>
      <c r="C31" s="3" t="inlineStr">
        <is>
          <t>Argent</t>
        </is>
      </c>
      <c r="D31" s="3" t="inlineStr">
        <is>
          <t>Caissier</t>
        </is>
      </c>
      <c r="E31" s="3" t="inlineStr">
        <is>
          <t>Valider versements livreurs, reverser vendeurs</t>
        </is>
      </c>
      <c r="F31" s="3" t="inlineStr">
        <is>
          <t>Versements</t>
        </is>
      </c>
      <c r="G31" s="3" t="inlineStr"/>
      <c r="H31" s="3" t="inlineStr"/>
      <c r="I31" s="3" t="inlineStr"/>
      <c r="J31" s="3" t="inlineStr"/>
    </row>
    <row r="32">
      <c r="A32" s="3" t="n">
        <v>29</v>
      </c>
      <c r="B32" s="3" t="inlineStr">
        <is>
          <t>Livraison (Distributions)</t>
        </is>
      </c>
      <c r="C32" s="3" t="inlineStr">
        <is>
          <t>Argent</t>
        </is>
      </c>
      <c r="D32" s="3" t="inlineStr">
        <is>
          <t>Direction générale</t>
        </is>
      </c>
      <c r="E32" s="3" t="inlineStr">
        <is>
          <t>Accepter ou refuser un écart de caisse</t>
        </is>
      </c>
      <c r="F32" s="3" t="inlineStr">
        <is>
          <t>Caisse &gt; Écarts</t>
        </is>
      </c>
      <c r="G32" s="3" t="inlineStr"/>
      <c r="H32" s="3" t="inlineStr"/>
      <c r="I32" s="3" t="inlineStr"/>
      <c r="J32" s="3" t="inlineStr"/>
    </row>
    <row r="33">
      <c r="A33" s="3" t="n">
        <v>30</v>
      </c>
      <c r="B33" s="3" t="inlineStr">
        <is>
          <t>Livraison (Distributions)</t>
        </is>
      </c>
      <c r="C33" s="3" t="inlineStr">
        <is>
          <t>Argent</t>
        </is>
      </c>
      <c r="D33" s="3" t="inlineStr">
        <is>
          <t>Direction générale</t>
        </is>
      </c>
      <c r="E33" s="3" t="inlineStr">
        <is>
          <t>Valider mouvements de caisse et opérations RH</t>
        </is>
      </c>
      <c r="F33" s="3" t="inlineStr">
        <is>
          <t>Direction &gt; Validation</t>
        </is>
      </c>
      <c r="G33" s="3" t="inlineStr"/>
      <c r="H33" s="3" t="inlineStr"/>
      <c r="I33" s="3" t="inlineStr"/>
      <c r="J33" s="3" t="inlineStr"/>
    </row>
    <row r="34">
      <c r="A34" s="3" t="n">
        <v>31</v>
      </c>
      <c r="B34" s="3" t="inlineStr">
        <is>
          <t>Livraison (Distributions)</t>
        </is>
      </c>
      <c r="C34" s="3" t="inlineStr">
        <is>
          <t>Argent</t>
        </is>
      </c>
      <c r="D34" s="3" t="inlineStr">
        <is>
          <t>Direction générale</t>
        </is>
      </c>
      <c r="E34" s="3" t="inlineStr">
        <is>
          <t>Lire tableau de bord, états, trésorerie</t>
        </is>
      </c>
      <c r="F34" s="3" t="inlineStr">
        <is>
          <t>Pilotage / États</t>
        </is>
      </c>
      <c r="G34" s="3" t="inlineStr"/>
      <c r="H34" s="3" t="inlineStr"/>
      <c r="I34" s="3" t="inlineStr"/>
      <c r="J34" s="3" t="inlineStr"/>
    </row>
    <row r="35">
      <c r="A35" s="3" t="n">
        <v>32</v>
      </c>
      <c r="B35" s="3" t="inlineStr">
        <is>
          <t>Livraison (Distributions)</t>
        </is>
      </c>
      <c r="C35" s="3" t="inlineStr">
        <is>
          <t>Administration</t>
        </is>
      </c>
      <c r="D35" s="3" t="inlineStr">
        <is>
          <t>Administrateur</t>
        </is>
      </c>
      <c r="E35" s="3" t="inlineStr">
        <is>
          <t>Créer utilisateurs, rôles et droits</t>
        </is>
      </c>
      <c r="F35" s="3" t="inlineStr">
        <is>
          <t>parametres.html / Utilisateurs</t>
        </is>
      </c>
      <c r="G35" s="3" t="inlineStr"/>
      <c r="H35" s="3" t="inlineStr"/>
      <c r="I35" s="3" t="inlineStr"/>
      <c r="J35" s="3" t="inlineStr"/>
    </row>
    <row r="36">
      <c r="A36" s="3" t="n">
        <v>33</v>
      </c>
      <c r="B36" s="3" t="inlineStr">
        <is>
          <t>Livraison (Distributions)</t>
        </is>
      </c>
      <c r="C36" s="3" t="inlineStr">
        <is>
          <t>Administration</t>
        </is>
      </c>
      <c r="D36" s="3" t="inlineStr">
        <is>
          <t>Administrateur</t>
        </is>
      </c>
      <c r="E36" s="3" t="inlineStr">
        <is>
          <t>Lire journal d'audit</t>
        </is>
      </c>
      <c r="F36" s="3" t="inlineStr">
        <is>
          <t>Journal d'audit</t>
        </is>
      </c>
      <c r="G36" s="3" t="inlineStr"/>
      <c r="H36" s="3" t="inlineStr"/>
      <c r="I36" s="3" t="inlineStr"/>
      <c r="J36" s="3" t="inlineStr"/>
    </row>
    <row r="37">
      <c r="A37" s="3" t="n">
        <v>34</v>
      </c>
      <c r="B37" s="3" t="inlineStr">
        <is>
          <t>Livraison (Distributions)</t>
        </is>
      </c>
      <c r="C37" s="3" t="inlineStr">
        <is>
          <t>Administration</t>
        </is>
      </c>
      <c r="D37" s="3" t="inlineStr">
        <is>
          <t>Administrateur</t>
        </is>
      </c>
      <c r="E37" s="3" t="inlineStr">
        <is>
          <t>Passer en production (vider données d'exercice)</t>
        </is>
      </c>
      <c r="F37" s="3" t="inlineStr">
        <is>
          <t>Paramètres &gt; Production</t>
        </is>
      </c>
      <c r="G37" s="3" t="inlineStr"/>
      <c r="H37" s="3" t="inlineStr"/>
      <c r="I37" s="3" t="inlineStr"/>
      <c r="J37" s="3" t="inlineStr"/>
    </row>
    <row r="38">
      <c r="A38" s="3" t="n">
        <v>35</v>
      </c>
      <c r="B38" s="3" t="inlineStr">
        <is>
          <t>Gestion de taxi (Transport)</t>
        </is>
      </c>
      <c r="C38" s="3" t="inlineStr">
        <is>
          <t>Véhicules</t>
        </is>
      </c>
      <c r="D38" s="3" t="inlineStr">
        <is>
          <t>Gestionnaire de flotte</t>
        </is>
      </c>
      <c r="E38" s="3" t="inlineStr">
        <is>
          <t>Créer véhicule + documents (carte grise, assurance, visite, carte de transport)</t>
        </is>
      </c>
      <c r="F38" s="3" t="inlineStr">
        <is>
          <t>transport.html &gt; Véhicules</t>
        </is>
      </c>
      <c r="G38" s="3" t="inlineStr"/>
      <c r="H38" s="3" t="inlineStr"/>
      <c r="I38" s="3" t="inlineStr"/>
      <c r="J38" s="3" t="inlineStr"/>
    </row>
    <row r="39">
      <c r="A39" s="3" t="n">
        <v>36</v>
      </c>
      <c r="B39" s="3" t="inlineStr">
        <is>
          <t>Gestion de taxi (Transport)</t>
        </is>
      </c>
      <c r="C39" s="3" t="inlineStr">
        <is>
          <t>Véhicules</t>
        </is>
      </c>
      <c r="D39" s="3" t="inlineStr">
        <is>
          <t>Gestionnaire de flotte</t>
        </is>
      </c>
      <c r="E39" s="3" t="inlineStr">
        <is>
          <t>Gérer statuts, sortie du parc, historique</t>
        </is>
      </c>
      <c r="F39" s="3" t="inlineStr">
        <is>
          <t>Véhicules</t>
        </is>
      </c>
      <c r="G39" s="3" t="inlineStr"/>
      <c r="H39" s="3" t="inlineStr"/>
      <c r="I39" s="3" t="inlineStr"/>
      <c r="J39" s="3" t="inlineStr"/>
    </row>
    <row r="40">
      <c r="A40" s="3" t="n">
        <v>37</v>
      </c>
      <c r="B40" s="3" t="inlineStr">
        <is>
          <t>Gestion de taxi (Transport)</t>
        </is>
      </c>
      <c r="C40" s="3" t="inlineStr">
        <is>
          <t>Chauffeurs</t>
        </is>
      </c>
      <c r="D40" s="3" t="inlineStr">
        <is>
          <t>Gestionnaire de flotte</t>
        </is>
      </c>
      <c r="E40" s="3" t="inlineStr">
        <is>
          <t>Créer chauffeur + dossier (photo, permis, CNI)</t>
        </is>
      </c>
      <c r="F40" s="3" t="inlineStr">
        <is>
          <t>Chauffeurs</t>
        </is>
      </c>
      <c r="G40" s="3" t="inlineStr"/>
      <c r="H40" s="3" t="inlineStr"/>
      <c r="I40" s="3" t="inlineStr"/>
      <c r="J40" s="3" t="inlineStr"/>
    </row>
    <row r="41">
      <c r="A41" s="3" t="n">
        <v>38</v>
      </c>
      <c r="B41" s="3" t="inlineStr">
        <is>
          <t>Gestion de taxi (Transport)</t>
        </is>
      </c>
      <c r="C41" s="3" t="inlineStr">
        <is>
          <t>Chauffeurs</t>
        </is>
      </c>
      <c r="D41" s="3" t="inlineStr">
        <is>
          <t>Gestionnaire de flotte</t>
        </is>
      </c>
      <c r="E41" s="3" t="inlineStr">
        <is>
          <t>Affecter chauffeur à véhicule</t>
        </is>
      </c>
      <c r="F41" s="3" t="inlineStr">
        <is>
          <t>Affectations</t>
        </is>
      </c>
      <c r="G41" s="3" t="inlineStr"/>
      <c r="H41" s="3" t="inlineStr"/>
      <c r="I41" s="3" t="inlineStr"/>
      <c r="J41" s="3" t="inlineStr"/>
    </row>
    <row r="42">
      <c r="A42" s="3" t="n">
        <v>39</v>
      </c>
      <c r="B42" s="3" t="inlineStr">
        <is>
          <t>Gestion de taxi (Transport)</t>
        </is>
      </c>
      <c r="C42" s="3" t="inlineStr">
        <is>
          <t>Contrats</t>
        </is>
      </c>
      <c r="D42" s="3" t="inlineStr">
        <is>
          <t>Directeur / propriétaire</t>
        </is>
      </c>
      <c r="E42" s="3" t="inlineStr">
        <is>
          <t>Établir contrat recette ou location, avenant</t>
        </is>
      </c>
      <c r="F42" s="3" t="inlineStr">
        <is>
          <t>Contrats</t>
        </is>
      </c>
      <c r="G42" s="3" t="inlineStr"/>
      <c r="H42" s="3" t="inlineStr"/>
      <c r="I42" s="3" t="inlineStr"/>
      <c r="J42" s="3" t="inlineStr"/>
    </row>
    <row r="43">
      <c r="A43" s="3" t="n">
        <v>40</v>
      </c>
      <c r="B43" s="3" t="inlineStr">
        <is>
          <t>Gestion de taxi (Transport)</t>
        </is>
      </c>
      <c r="C43" s="3" t="inlineStr">
        <is>
          <t>Contrats</t>
        </is>
      </c>
      <c r="D43" s="3" t="inlineStr">
        <is>
          <t>Directeur / propriétaire</t>
        </is>
      </c>
      <c r="E43" s="3" t="inlineStr">
        <is>
          <t>Accorder exonération motivée / journée exceptionnelle</t>
        </is>
      </c>
      <c r="F43" s="3" t="inlineStr">
        <is>
          <t>Contrats / Planning</t>
        </is>
      </c>
      <c r="G43" s="3" t="inlineStr"/>
      <c r="H43" s="3" t="inlineStr"/>
      <c r="I43" s="3" t="inlineStr"/>
      <c r="J43" s="3" t="inlineStr"/>
    </row>
    <row r="44">
      <c r="A44" s="3" t="n">
        <v>41</v>
      </c>
      <c r="B44" s="3" t="inlineStr">
        <is>
          <t>Gestion de taxi (Transport)</t>
        </is>
      </c>
      <c r="C44" s="3" t="inlineStr">
        <is>
          <t>Planning et échéances</t>
        </is>
      </c>
      <c r="D44" s="3" t="inlineStr">
        <is>
          <t>Gestionnaire de flotte</t>
        </is>
      </c>
      <c r="E44" s="3" t="inlineStr">
        <is>
          <t>Lire planning et échéances journalières</t>
        </is>
      </c>
      <c r="F44" s="3" t="inlineStr">
        <is>
          <t>Planning / Échéances</t>
        </is>
      </c>
      <c r="G44" s="3" t="inlineStr"/>
      <c r="H44" s="3" t="inlineStr"/>
      <c r="I44" s="3" t="inlineStr"/>
      <c r="J44" s="3" t="inlineStr"/>
    </row>
    <row r="45">
      <c r="A45" s="3" t="n">
        <v>42</v>
      </c>
      <c r="B45" s="3" t="inlineStr">
        <is>
          <t>Gestion de taxi (Transport)</t>
        </is>
      </c>
      <c r="C45" s="3" t="inlineStr">
        <is>
          <t>Encaissements</t>
        </is>
      </c>
      <c r="D45" s="3" t="inlineStr">
        <is>
          <t>Caissier</t>
        </is>
      </c>
      <c r="E45" s="3" t="inlineStr">
        <is>
          <t>Encaisser versement (espèces, mobile money, virement)</t>
        </is>
      </c>
      <c r="F45" s="3" t="inlineStr">
        <is>
          <t>Encaissements</t>
        </is>
      </c>
      <c r="G45" s="3" t="inlineStr"/>
      <c r="H45" s="3" t="inlineStr"/>
      <c r="I45" s="3" t="inlineStr"/>
      <c r="J45" s="3" t="inlineStr"/>
    </row>
    <row r="46">
      <c r="A46" s="3" t="n">
        <v>43</v>
      </c>
      <c r="B46" s="3" t="inlineStr">
        <is>
          <t>Gestion de taxi (Transport)</t>
        </is>
      </c>
      <c r="C46" s="3" t="inlineStr">
        <is>
          <t>Encaissements</t>
        </is>
      </c>
      <c r="D46" s="3" t="inlineStr">
        <is>
          <t>Caissier</t>
        </is>
      </c>
      <c r="E46" s="3" t="inlineStr">
        <is>
          <t>Gérer paiement partiel et anti-doublon</t>
        </is>
      </c>
      <c r="F46" s="3" t="inlineStr">
        <is>
          <t>Encaissements</t>
        </is>
      </c>
      <c r="G46" s="3" t="inlineStr"/>
      <c r="H46" s="3" t="inlineStr"/>
      <c r="I46" s="3" t="inlineStr"/>
      <c r="J46" s="3" t="inlineStr"/>
    </row>
    <row r="47">
      <c r="A47" s="3" t="n">
        <v>44</v>
      </c>
      <c r="B47" s="3" t="inlineStr">
        <is>
          <t>Gestion de taxi (Transport)</t>
        </is>
      </c>
      <c r="C47" s="3" t="inlineStr">
        <is>
          <t>Encaissements</t>
        </is>
      </c>
      <c r="D47" s="3" t="inlineStr">
        <is>
          <t>Caissier</t>
        </is>
      </c>
      <c r="E47" s="3" t="inlineStr">
        <is>
          <t>Émettre et imprimer reçu</t>
        </is>
      </c>
      <c r="F47" s="3" t="inlineStr">
        <is>
          <t>Reçus</t>
        </is>
      </c>
      <c r="G47" s="3" t="inlineStr"/>
      <c r="H47" s="3" t="inlineStr"/>
      <c r="I47" s="3" t="inlineStr"/>
      <c r="J47" s="3" t="inlineStr"/>
    </row>
    <row r="48">
      <c r="A48" s="3" t="n">
        <v>45</v>
      </c>
      <c r="B48" s="3" t="inlineStr">
        <is>
          <t>Gestion de taxi (Transport)</t>
        </is>
      </c>
      <c r="C48" s="3" t="inlineStr">
        <is>
          <t>Encaissements</t>
        </is>
      </c>
      <c r="D48" s="3" t="inlineStr">
        <is>
          <t>Caissier</t>
        </is>
      </c>
      <c r="E48" s="3" t="inlineStr">
        <is>
          <t>Annuler un encaissement avec motif</t>
        </is>
      </c>
      <c r="F48" s="3" t="inlineStr">
        <is>
          <t>Encaissements</t>
        </is>
      </c>
      <c r="G48" s="3" t="inlineStr"/>
      <c r="H48" s="3" t="inlineStr"/>
      <c r="I48" s="3" t="inlineStr"/>
      <c r="J48" s="3" t="inlineStr"/>
    </row>
    <row r="49">
      <c r="A49" s="3" t="n">
        <v>46</v>
      </c>
      <c r="B49" s="3" t="inlineStr">
        <is>
          <t>Gestion de taxi (Transport)</t>
        </is>
      </c>
      <c r="C49" s="3" t="inlineStr">
        <is>
          <t>Caisse et dépenses</t>
        </is>
      </c>
      <c r="D49" s="3" t="inlineStr">
        <is>
          <t>Caissier</t>
        </is>
      </c>
      <c r="E49" s="3" t="inlineStr">
        <is>
          <t>Ouvrir / clôturer caisse, traiter écart</t>
        </is>
      </c>
      <c r="F49" s="3" t="inlineStr">
        <is>
          <t>Caisse</t>
        </is>
      </c>
      <c r="G49" s="3" t="inlineStr"/>
      <c r="H49" s="3" t="inlineStr"/>
      <c r="I49" s="3" t="inlineStr"/>
      <c r="J49" s="3" t="inlineStr"/>
    </row>
    <row r="50">
      <c r="A50" s="3" t="n">
        <v>47</v>
      </c>
      <c r="B50" s="3" t="inlineStr">
        <is>
          <t>Gestion de taxi (Transport)</t>
        </is>
      </c>
      <c r="C50" s="3" t="inlineStr">
        <is>
          <t>Caisse et dépenses</t>
        </is>
      </c>
      <c r="D50" s="3" t="inlineStr">
        <is>
          <t>Caissier</t>
        </is>
      </c>
      <c r="E50" s="3" t="inlineStr">
        <is>
          <t>Saisir dépense avec justificatif</t>
        </is>
      </c>
      <c r="F50" s="3" t="inlineStr">
        <is>
          <t>Dépenses</t>
        </is>
      </c>
      <c r="G50" s="3" t="inlineStr"/>
      <c r="H50" s="3" t="inlineStr"/>
      <c r="I50" s="3" t="inlineStr"/>
      <c r="J50" s="3" t="inlineStr"/>
    </row>
    <row r="51">
      <c r="A51" s="3" t="n">
        <v>48</v>
      </c>
      <c r="B51" s="3" t="inlineStr">
        <is>
          <t>Gestion de taxi (Transport)</t>
        </is>
      </c>
      <c r="C51" s="3" t="inlineStr">
        <is>
          <t>Caisse et dépenses</t>
        </is>
      </c>
      <c r="D51" s="3" t="inlineStr">
        <is>
          <t>Contrôleur</t>
        </is>
      </c>
      <c r="E51" s="3" t="inlineStr">
        <is>
          <t>Valider dépenses au-delà du seuil, pointer banque</t>
        </is>
      </c>
      <c r="F51" s="3" t="inlineStr">
        <is>
          <t>Dépenses / Caisse</t>
        </is>
      </c>
      <c r="G51" s="3" t="inlineStr"/>
      <c r="H51" s="3" t="inlineStr"/>
      <c r="I51" s="3" t="inlineStr"/>
      <c r="J51" s="3" t="inlineStr"/>
    </row>
    <row r="52">
      <c r="A52" s="3" t="n">
        <v>49</v>
      </c>
      <c r="B52" s="3" t="inlineStr">
        <is>
          <t>Gestion de taxi (Transport)</t>
        </is>
      </c>
      <c r="C52" s="3" t="inlineStr">
        <is>
          <t>Comptabilité</t>
        </is>
      </c>
      <c r="D52" s="3" t="inlineStr">
        <is>
          <t>Comptable</t>
        </is>
      </c>
      <c r="E52" s="3" t="inlineStr">
        <is>
          <t>Passer écritures SYSCOHADA, extourne, lettrage</t>
        </is>
      </c>
      <c r="F52" s="3" t="inlineStr">
        <is>
          <t>Comptabilité</t>
        </is>
      </c>
      <c r="G52" s="3" t="inlineStr"/>
      <c r="H52" s="3" t="inlineStr"/>
      <c r="I52" s="3" t="inlineStr"/>
      <c r="J52" s="3" t="inlineStr"/>
    </row>
    <row r="53">
      <c r="A53" s="3" t="n">
        <v>50</v>
      </c>
      <c r="B53" s="3" t="inlineStr">
        <is>
          <t>Gestion de taxi (Transport)</t>
        </is>
      </c>
      <c r="C53" s="3" t="inlineStr">
        <is>
          <t>Comptabilité</t>
        </is>
      </c>
      <c r="D53" s="3" t="inlineStr">
        <is>
          <t>Comptable</t>
        </is>
      </c>
      <c r="E53" s="3" t="inlineStr">
        <is>
          <t>Clôturer période, tenir plan et comptes tiers</t>
        </is>
      </c>
      <c r="F53" s="3" t="inlineStr">
        <is>
          <t>Périodes / Plan / Tiers</t>
        </is>
      </c>
      <c r="G53" s="3" t="inlineStr"/>
      <c r="H53" s="3" t="inlineStr"/>
      <c r="I53" s="3" t="inlineStr"/>
      <c r="J53" s="3" t="inlineStr"/>
    </row>
    <row r="54">
      <c r="A54" s="3" t="n">
        <v>51</v>
      </c>
      <c r="B54" s="3" t="inlineStr">
        <is>
          <t>Gestion de taxi (Transport)</t>
        </is>
      </c>
      <c r="C54" s="3" t="inlineStr">
        <is>
          <t>Comptabilité</t>
        </is>
      </c>
      <c r="D54" s="3" t="inlineStr">
        <is>
          <t>Comptable</t>
        </is>
      </c>
      <c r="E54" s="3" t="inlineStr">
        <is>
          <t>Éditer balance, grand livre, journaux</t>
        </is>
      </c>
      <c r="F54" s="3" t="inlineStr">
        <is>
          <t>États comptables</t>
        </is>
      </c>
      <c r="G54" s="3" t="inlineStr"/>
      <c r="H54" s="3" t="inlineStr"/>
      <c r="I54" s="3" t="inlineStr"/>
      <c r="J54" s="3" t="inlineStr"/>
    </row>
    <row r="55">
      <c r="A55" s="3" t="n">
        <v>52</v>
      </c>
      <c r="B55" s="3" t="inlineStr">
        <is>
          <t>Gestion de taxi (Transport)</t>
        </is>
      </c>
      <c r="C55" s="3" t="inlineStr">
        <is>
          <t>Maintenance</t>
        </is>
      </c>
      <c r="D55" s="3" t="inlineStr">
        <is>
          <t>Gestionnaire de flotte</t>
        </is>
      </c>
      <c r="E55" s="3" t="inlineStr">
        <is>
          <t>Planifier entretien préventif (km, jours)</t>
        </is>
      </c>
      <c r="F55" s="3" t="inlineStr">
        <is>
          <t>Entretien préventif</t>
        </is>
      </c>
      <c r="G55" s="3" t="inlineStr"/>
      <c r="H55" s="3" t="inlineStr"/>
      <c r="I55" s="3" t="inlineStr"/>
      <c r="J55" s="3" t="inlineStr"/>
    </row>
    <row r="56">
      <c r="A56" s="3" t="n">
        <v>53</v>
      </c>
      <c r="B56" s="3" t="inlineStr">
        <is>
          <t>Gestion de taxi (Transport)</t>
        </is>
      </c>
      <c r="C56" s="3" t="inlineStr">
        <is>
          <t>Maintenance</t>
        </is>
      </c>
      <c r="D56" s="3" t="inlineStr">
        <is>
          <t>Gestionnaire de flotte</t>
        </is>
      </c>
      <c r="E56" s="3" t="inlineStr">
        <is>
          <t>Ouvrir ordre de maintenance, immobiliser, remettre en service</t>
        </is>
      </c>
      <c r="F56" s="3" t="inlineStr">
        <is>
          <t>Maintenance</t>
        </is>
      </c>
      <c r="G56" s="3" t="inlineStr"/>
      <c r="H56" s="3" t="inlineStr"/>
      <c r="I56" s="3" t="inlineStr"/>
      <c r="J56" s="3" t="inlineStr"/>
    </row>
    <row r="57">
      <c r="A57" s="3" t="n">
        <v>54</v>
      </c>
      <c r="B57" s="3" t="inlineStr">
        <is>
          <t>Gestion de taxi (Transport)</t>
        </is>
      </c>
      <c r="C57" s="3" t="inlineStr">
        <is>
          <t>Maintenance</t>
        </is>
      </c>
      <c r="D57" s="3" t="inlineStr">
        <is>
          <t>Gestionnaire de flotte</t>
        </is>
      </c>
      <c r="E57" s="3" t="inlineStr">
        <is>
          <t>Gérer stock de pièces, seuils, inventaire</t>
        </is>
      </c>
      <c r="F57" s="3" t="inlineStr">
        <is>
          <t>Pièces détachées</t>
        </is>
      </c>
      <c r="G57" s="3" t="inlineStr"/>
      <c r="H57" s="3" t="inlineStr"/>
      <c r="I57" s="3" t="inlineStr"/>
      <c r="J57" s="3" t="inlineStr"/>
    </row>
    <row r="58">
      <c r="A58" s="3" t="n">
        <v>55</v>
      </c>
      <c r="B58" s="3" t="inlineStr">
        <is>
          <t>Gestion de taxi (Transport)</t>
        </is>
      </c>
      <c r="C58" s="3" t="inlineStr">
        <is>
          <t>Maintenance</t>
        </is>
      </c>
      <c r="D58" s="3" t="inlineStr">
        <is>
          <t>Gestionnaire de flotte</t>
        </is>
      </c>
      <c r="E58" s="3" t="inlineStr">
        <is>
          <t>Utiliser l'agenda atelier</t>
        </is>
      </c>
      <c r="F58" s="3" t="inlineStr">
        <is>
          <t>Agenda atelier</t>
        </is>
      </c>
      <c r="G58" s="3" t="inlineStr"/>
      <c r="H58" s="3" t="inlineStr"/>
      <c r="I58" s="3" t="inlineStr"/>
      <c r="J58" s="3" t="inlineStr"/>
    </row>
    <row r="59">
      <c r="A59" s="3" t="n">
        <v>56</v>
      </c>
      <c r="B59" s="3" t="inlineStr">
        <is>
          <t>Gestion de taxi (Transport)</t>
        </is>
      </c>
      <c r="C59" s="3" t="inlineStr">
        <is>
          <t>Sinistres</t>
        </is>
      </c>
      <c r="D59" s="3" t="inlineStr">
        <is>
          <t>Gestionnaire de flotte</t>
        </is>
      </c>
      <c r="E59" s="3" t="inlineStr">
        <is>
          <t>Déclarer et suivre un sinistre</t>
        </is>
      </c>
      <c r="F59" s="3" t="inlineStr">
        <is>
          <t>Sinistres</t>
        </is>
      </c>
      <c r="G59" s="3" t="inlineStr"/>
      <c r="H59" s="3" t="inlineStr"/>
      <c r="I59" s="3" t="inlineStr"/>
      <c r="J59" s="3" t="inlineStr"/>
    </row>
    <row r="60">
      <c r="A60" s="3" t="n">
        <v>57</v>
      </c>
      <c r="B60" s="3" t="inlineStr">
        <is>
          <t>Gestion de taxi (Transport)</t>
        </is>
      </c>
      <c r="C60" s="3" t="inlineStr">
        <is>
          <t>GPS</t>
        </is>
      </c>
      <c r="D60" s="3" t="inlineStr">
        <is>
          <t>Gestionnaire de flotte</t>
        </is>
      </c>
      <c r="E60" s="3" t="inlineStr">
        <is>
          <t>Suivre position des taxis, zones, boîtiers</t>
        </is>
      </c>
      <c r="F60" s="3" t="inlineStr">
        <is>
          <t>GPS</t>
        </is>
      </c>
      <c r="G60" s="3" t="inlineStr"/>
      <c r="H60" s="3" t="inlineStr"/>
      <c r="I60" s="3" t="inlineStr"/>
      <c r="J60" s="3" t="inlineStr"/>
    </row>
    <row r="61">
      <c r="A61" s="3" t="n">
        <v>58</v>
      </c>
      <c r="B61" s="3" t="inlineStr">
        <is>
          <t>Gestion de taxi (Transport)</t>
        </is>
      </c>
      <c r="C61" s="3" t="inlineStr">
        <is>
          <t>Documents et alertes</t>
        </is>
      </c>
      <c r="D61" s="3" t="inlineStr">
        <is>
          <t>Contrôleur</t>
        </is>
      </c>
      <c r="E61" s="3" t="inlineStr">
        <is>
          <t>Traiter échéances de documents et demandes chauffeurs</t>
        </is>
      </c>
      <c r="F61" s="3" t="inlineStr">
        <is>
          <t>Documents et alertes</t>
        </is>
      </c>
      <c r="G61" s="3" t="inlineStr"/>
      <c r="H61" s="3" t="inlineStr"/>
      <c r="I61" s="3" t="inlineStr"/>
      <c r="J61" s="3" t="inlineStr"/>
    </row>
    <row r="62">
      <c r="A62" s="3" t="n">
        <v>59</v>
      </c>
      <c r="B62" s="3" t="inlineStr">
        <is>
          <t>Gestion de taxi (Transport)</t>
        </is>
      </c>
      <c r="C62" s="3" t="inlineStr">
        <is>
          <t>Rapports</t>
        </is>
      </c>
      <c r="D62" s="3" t="inlineStr">
        <is>
          <t>Directeur / propriétaire</t>
        </is>
      </c>
      <c r="E62" s="3" t="inlineStr">
        <is>
          <t>Lire recouvrement, impayés, disponibilité, écarts</t>
        </is>
      </c>
      <c r="F62" s="3" t="inlineStr">
        <is>
          <t>Rapports</t>
        </is>
      </c>
      <c r="G62" s="3" t="inlineStr"/>
      <c r="H62" s="3" t="inlineStr"/>
      <c r="I62" s="3" t="inlineStr"/>
      <c r="J62" s="3" t="inlineStr"/>
    </row>
    <row r="63">
      <c r="A63" s="3" t="n">
        <v>60</v>
      </c>
      <c r="B63" s="3" t="inlineStr">
        <is>
          <t>Gestion de taxi (Transport)</t>
        </is>
      </c>
      <c r="C63" s="3" t="inlineStr">
        <is>
          <t>Portail chauffeur</t>
        </is>
      </c>
      <c r="D63" s="3" t="inlineStr">
        <is>
          <t>Chauffeur taxi</t>
        </is>
      </c>
      <c r="E63" s="3" t="inlineStr">
        <is>
          <t>Se connecter et consulter reçus et véhicule</t>
        </is>
      </c>
      <c r="F63" s="3" t="inlineStr">
        <is>
          <t>Portail chauffeur</t>
        </is>
      </c>
      <c r="G63" s="3" t="inlineStr"/>
      <c r="H63" s="3" t="inlineStr"/>
      <c r="I63" s="3" t="inlineStr"/>
      <c r="J63" s="3" t="inlineStr"/>
    </row>
    <row r="64">
      <c r="A64" s="3" t="n">
        <v>61</v>
      </c>
      <c r="B64" s="3" t="inlineStr">
        <is>
          <t>Gestion de taxi (Transport)</t>
        </is>
      </c>
      <c r="C64" s="3" t="inlineStr">
        <is>
          <t>Portail chauffeur</t>
        </is>
      </c>
      <c r="D64" s="3" t="inlineStr">
        <is>
          <t>Chauffeur taxi</t>
        </is>
      </c>
      <c r="E64" s="3" t="inlineStr">
        <is>
          <t>Déclarer incident avec photo, faire une demande</t>
        </is>
      </c>
      <c r="F64" s="3" t="inlineStr">
        <is>
          <t>Portail chauffeur</t>
        </is>
      </c>
      <c r="G64" s="3" t="inlineStr"/>
      <c r="H64" s="3" t="inlineStr"/>
      <c r="I64" s="3" t="inlineStr"/>
      <c r="J64" s="3" t="inlineStr"/>
    </row>
    <row r="65">
      <c r="A65" s="3" t="n">
        <v>62</v>
      </c>
      <c r="B65" s="3" t="inlineStr">
        <is>
          <t>Gestion de taxi (Transport)</t>
        </is>
      </c>
      <c r="C65" s="3" t="inlineStr">
        <is>
          <t>Portail chauffeur</t>
        </is>
      </c>
      <c r="D65" s="3" t="inlineStr">
        <is>
          <t>Chauffeur taxi</t>
        </is>
      </c>
      <c r="E65" s="3" t="inlineStr">
        <is>
          <t>Verser sa recette et vérifier son solde</t>
        </is>
      </c>
      <c r="F65" s="3" t="inlineStr">
        <is>
          <t>Portail chauffeur</t>
        </is>
      </c>
      <c r="G65" s="3" t="inlineStr"/>
      <c r="H65" s="3" t="inlineStr"/>
      <c r="I65" s="3" t="inlineStr"/>
      <c r="J65" s="3" t="inlineStr"/>
    </row>
    <row r="66">
      <c r="A66" s="3" t="n">
        <v>63</v>
      </c>
      <c r="B66" s="3" t="inlineStr">
        <is>
          <t>Gestion de taxi (Transport)</t>
        </is>
      </c>
      <c r="C66" s="3" t="inlineStr">
        <is>
          <t>Droits et audit</t>
        </is>
      </c>
      <c r="D66" s="3" t="inlineStr">
        <is>
          <t>Administrateur général</t>
        </is>
      </c>
      <c r="E66" s="3" t="inlineStr">
        <is>
          <t>Régler matrice module × action</t>
        </is>
      </c>
      <c r="F66" s="3" t="inlineStr">
        <is>
          <t>Utilisateurs et droits</t>
        </is>
      </c>
      <c r="G66" s="3" t="inlineStr"/>
      <c r="H66" s="3" t="inlineStr"/>
      <c r="I66" s="3" t="inlineStr"/>
      <c r="J66" s="3" t="inlineStr"/>
    </row>
    <row r="67">
      <c r="A67" s="3" t="n">
        <v>64</v>
      </c>
      <c r="B67" s="3" t="inlineStr">
        <is>
          <t>Gestion de taxi (Transport)</t>
        </is>
      </c>
      <c r="C67" s="3" t="inlineStr">
        <is>
          <t>Droits et audit</t>
        </is>
      </c>
      <c r="D67" s="3" t="inlineStr">
        <is>
          <t>Administrateur général</t>
        </is>
      </c>
      <c r="E67" s="3" t="inlineStr">
        <is>
          <t>Sauvegarder / restaurer, lire audit</t>
        </is>
      </c>
      <c r="F67" s="3" t="inlineStr">
        <is>
          <t>Audit et paramètres</t>
        </is>
      </c>
      <c r="G67" s="3" t="inlineStr"/>
      <c r="H67" s="3" t="inlineStr"/>
      <c r="I67" s="3" t="inlineStr"/>
      <c r="J67" s="3" t="inlineStr"/>
    </row>
    <row r="68">
      <c r="A68" s="3" t="n">
        <v>65</v>
      </c>
      <c r="B68" s="3" t="inlineStr">
        <is>
          <t>Transversal (Groupe)</t>
        </is>
      </c>
      <c r="C68" s="3" t="inlineStr">
        <is>
          <t>Accueil du groupe</t>
        </is>
      </c>
      <c r="D68" s="3" t="inlineStr">
        <is>
          <t>Administrateur</t>
        </is>
      </c>
      <c r="E68" s="3" t="inlineStr">
        <is>
          <t>Naviguer entre Distributions, Transport, Agro</t>
        </is>
      </c>
      <c r="F68" s="3" t="inlineStr">
        <is>
          <t>index.html</t>
        </is>
      </c>
      <c r="G68" s="3" t="inlineStr"/>
      <c r="H68" s="3" t="inlineStr"/>
      <c r="I68" s="3" t="inlineStr"/>
      <c r="J68" s="3" t="inlineStr"/>
    </row>
    <row r="69">
      <c r="A69" s="3" t="n">
        <v>66</v>
      </c>
      <c r="B69" s="3" t="inlineStr">
        <is>
          <t>Transversal (Groupe)</t>
        </is>
      </c>
      <c r="C69" s="3" t="inlineStr">
        <is>
          <t>Accueil du groupe</t>
        </is>
      </c>
      <c r="D69" s="3" t="inlineStr">
        <is>
          <t>Direction générale</t>
        </is>
      </c>
      <c r="E69" s="3" t="inlineStr">
        <is>
          <t>Lire vue consolidée (trésorerie, CA, créances)</t>
        </is>
      </c>
      <c r="F69" s="3" t="inlineStr">
        <is>
          <t>index.html</t>
        </is>
      </c>
      <c r="G69" s="3" t="inlineStr"/>
      <c r="H69" s="3" t="inlineStr"/>
      <c r="I69" s="3" t="inlineStr"/>
      <c r="J69" s="3" t="inlineStr"/>
    </row>
    <row r="70">
      <c r="A70" s="3" t="n">
        <v>67</v>
      </c>
      <c r="B70" s="3" t="inlineStr">
        <is>
          <t>Transversal (Groupe)</t>
        </is>
      </c>
      <c r="C70" s="3" t="inlineStr">
        <is>
          <t>Accueil du groupe</t>
        </is>
      </c>
      <c r="D70" s="3" t="inlineStr">
        <is>
          <t>Tous</t>
        </is>
      </c>
      <c r="E70" s="3" t="inlineStr">
        <is>
          <t>Installer l'application (PWA) et se déconnecter</t>
        </is>
      </c>
      <c r="F70" s="3" t="inlineStr">
        <is>
          <t>Menu &gt; Installer</t>
        </is>
      </c>
      <c r="G70" s="3" t="inlineStr"/>
      <c r="H70" s="3" t="inlineStr"/>
      <c r="I70" s="3" t="inlineStr"/>
      <c r="J70" s="3" t="inlineStr"/>
    </row>
    <row r="71">
      <c r="A71" s="3" t="n">
        <v>68</v>
      </c>
      <c r="B71" s="3" t="inlineStr">
        <is>
          <t>Transversal (Groupe)</t>
        </is>
      </c>
      <c r="C71" s="3" t="inlineStr">
        <is>
          <t>Accueil du groupe</t>
        </is>
      </c>
      <c r="D71" s="3" t="inlineStr">
        <is>
          <t>Tous</t>
        </is>
      </c>
      <c r="E71" s="3" t="inlineStr">
        <is>
          <t>Changer son mot de passe, respecter règles de sécurité</t>
        </is>
      </c>
      <c r="F71" s="3" t="inlineStr">
        <is>
          <t>Profil</t>
        </is>
      </c>
      <c r="G71" s="3" t="inlineStr"/>
      <c r="H71" s="3" t="inlineStr"/>
      <c r="I71" s="3" t="inlineStr"/>
      <c r="J71" s="3" t="inlineStr"/>
    </row>
  </sheetData>
  <autoFilter ref="A3:J71"/>
  <mergeCells count="1">
    <mergeCell ref="A1:J1"/>
  </mergeCells>
  <conditionalFormatting sqref="G4:G71">
    <cfRule type="expression" priority="1" dxfId="0">
      <formula>$G4="Acquis"</formula>
    </cfRule>
    <cfRule type="expression" priority="2" dxfId="1">
      <formula>$G4="En cours"</formula>
    </cfRule>
    <cfRule type="expression" priority="3" dxfId="2">
      <formula>$G4="Non acquis"</formula>
    </cfRule>
  </conditionalFormatting>
  <dataValidations count="1">
    <dataValidation sqref="G4:G71" showDropDown="0" showInputMessage="0" showErrorMessage="0" allowBlank="1" type="list">
      <formula1>"Acquis,En cours,Non acquis,N/A"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9" customWidth="1" min="3" max="3"/>
    <col width="9" customWidth="1" min="4" max="4"/>
    <col width="10" customWidth="1" min="5" max="5"/>
    <col width="12" customWidth="1" min="6" max="6"/>
    <col width="10" customWidth="1" min="7" max="7"/>
  </cols>
  <sheetData>
    <row r="1">
      <c r="A1" s="4" t="inlineStr">
        <is>
          <t>Module concerné</t>
        </is>
      </c>
      <c r="B1" s="4" t="inlineStr">
        <is>
          <t>Acteur</t>
        </is>
      </c>
      <c r="C1" s="4" t="inlineStr">
        <is>
          <t>Points</t>
        </is>
      </c>
      <c r="D1" s="4" t="inlineStr">
        <is>
          <t>Acquis</t>
        </is>
      </c>
      <c r="E1" s="4" t="inlineStr">
        <is>
          <t>En cours</t>
        </is>
      </c>
      <c r="F1" s="4" t="inlineStr">
        <is>
          <t>Non acquis</t>
        </is>
      </c>
      <c r="G1" s="4" t="inlineStr">
        <is>
          <t>% acquis</t>
        </is>
      </c>
    </row>
    <row r="2">
      <c r="A2" s="5" t="inlineStr">
        <is>
          <t>Livraison (Distributions)</t>
        </is>
      </c>
      <c r="B2" s="5" t="inlineStr">
        <is>
          <t>Responsable commercial</t>
        </is>
      </c>
      <c r="C2" s="5">
        <f>COUNTIFS(Checklist!$B$4:$B$71,$A2,Checklist!$D$4:$D$71,$B2)</f>
        <v/>
      </c>
      <c r="D2" s="5">
        <f>COUNTIFS(Checklist!$B$4:$B$71,$A2,Checklist!$D$4:$D$71,$B2,Checklist!$G$4:$G$71,"Acquis")</f>
        <v/>
      </c>
      <c r="E2" s="5">
        <f>COUNTIFS(Checklist!$B$4:$B$71,$A2,Checklist!$D$4:$D$71,$B2,Checklist!$G$4:$G$71,"En cours")</f>
        <v/>
      </c>
      <c r="F2" s="5">
        <f>COUNTIFS(Checklist!$B$4:$B$71,$A2,Checklist!$D$4:$D$71,$B2,Checklist!$G$4:$G$71,"Non acquis")</f>
        <v/>
      </c>
      <c r="G2" s="6">
        <f>IF(C2=0,0,D2/C2)</f>
        <v/>
      </c>
    </row>
    <row r="3">
      <c r="A3" s="5" t="inlineStr">
        <is>
          <t>Livraison (Distributions)</t>
        </is>
      </c>
      <c r="B3" s="5" t="inlineStr">
        <is>
          <t>Client</t>
        </is>
      </c>
      <c r="C3" s="5">
        <f>COUNTIFS(Checklist!$B$4:$B$71,$A3,Checklist!$D$4:$D$71,$B3)</f>
        <v/>
      </c>
      <c r="D3" s="5">
        <f>COUNTIFS(Checklist!$B$4:$B$71,$A3,Checklist!$D$4:$D$71,$B3,Checklist!$G$4:$G$71,"Acquis")</f>
        <v/>
      </c>
      <c r="E3" s="5">
        <f>COUNTIFS(Checklist!$B$4:$B$71,$A3,Checklist!$D$4:$D$71,$B3,Checklist!$G$4:$G$71,"En cours")</f>
        <v/>
      </c>
      <c r="F3" s="5">
        <f>COUNTIFS(Checklist!$B$4:$B$71,$A3,Checklist!$D$4:$D$71,$B3,Checklist!$G$4:$G$71,"Non acquis")</f>
        <v/>
      </c>
      <c r="G3" s="6">
        <f>IF(C3=0,0,D3/C3)</f>
        <v/>
      </c>
    </row>
    <row r="4">
      <c r="A4" s="5" t="inlineStr">
        <is>
          <t>Livraison (Distributions)</t>
        </is>
      </c>
      <c r="B4" s="5" t="inlineStr">
        <is>
          <t>Préparateur</t>
        </is>
      </c>
      <c r="C4" s="5">
        <f>COUNTIFS(Checklist!$B$4:$B$71,$A4,Checklist!$D$4:$D$71,$B4)</f>
        <v/>
      </c>
      <c r="D4" s="5">
        <f>COUNTIFS(Checklist!$B$4:$B$71,$A4,Checklist!$D$4:$D$71,$B4,Checklist!$G$4:$G$71,"Acquis")</f>
        <v/>
      </c>
      <c r="E4" s="5">
        <f>COUNTIFS(Checklist!$B$4:$B$71,$A4,Checklist!$D$4:$D$71,$B4,Checklist!$G$4:$G$71,"En cours")</f>
        <v/>
      </c>
      <c r="F4" s="5">
        <f>COUNTIFS(Checklist!$B$4:$B$71,$A4,Checklist!$D$4:$D$71,$B4,Checklist!$G$4:$G$71,"Non acquis")</f>
        <v/>
      </c>
      <c r="G4" s="6">
        <f>IF(C4=0,0,D4/C4)</f>
        <v/>
      </c>
    </row>
    <row r="5">
      <c r="A5" s="5" t="inlineStr">
        <is>
          <t>Livraison (Distributions)</t>
        </is>
      </c>
      <c r="B5" s="5" t="inlineStr">
        <is>
          <t>Superviseur des livraisons</t>
        </is>
      </c>
      <c r="C5" s="5">
        <f>COUNTIFS(Checklist!$B$4:$B$71,$A5,Checklist!$D$4:$D$71,$B5)</f>
        <v/>
      </c>
      <c r="D5" s="5">
        <f>COUNTIFS(Checklist!$B$4:$B$71,$A5,Checklist!$D$4:$D$71,$B5,Checklist!$G$4:$G$71,"Acquis")</f>
        <v/>
      </c>
      <c r="E5" s="5">
        <f>COUNTIFS(Checklist!$B$4:$B$71,$A5,Checklist!$D$4:$D$71,$B5,Checklist!$G$4:$G$71,"En cours")</f>
        <v/>
      </c>
      <c r="F5" s="5">
        <f>COUNTIFS(Checklist!$B$4:$B$71,$A5,Checklist!$D$4:$D$71,$B5,Checklist!$G$4:$G$71,"Non acquis")</f>
        <v/>
      </c>
      <c r="G5" s="6">
        <f>IF(C5=0,0,D5/C5)</f>
        <v/>
      </c>
    </row>
    <row r="6">
      <c r="A6" s="5" t="inlineStr">
        <is>
          <t>Livraison (Distributions)</t>
        </is>
      </c>
      <c r="B6" s="5" t="inlineStr">
        <is>
          <t>Livreur</t>
        </is>
      </c>
      <c r="C6" s="5">
        <f>COUNTIFS(Checklist!$B$4:$B$71,$A6,Checklist!$D$4:$D$71,$B6)</f>
        <v/>
      </c>
      <c r="D6" s="5">
        <f>COUNTIFS(Checklist!$B$4:$B$71,$A6,Checklist!$D$4:$D$71,$B6,Checklist!$G$4:$G$71,"Acquis")</f>
        <v/>
      </c>
      <c r="E6" s="5">
        <f>COUNTIFS(Checklist!$B$4:$B$71,$A6,Checklist!$D$4:$D$71,$B6,Checklist!$G$4:$G$71,"En cours")</f>
        <v/>
      </c>
      <c r="F6" s="5">
        <f>COUNTIFS(Checklist!$B$4:$B$71,$A6,Checklist!$D$4:$D$71,$B6,Checklist!$G$4:$G$71,"Non acquis")</f>
        <v/>
      </c>
      <c r="G6" s="6">
        <f>IF(C6=0,0,D6/C6)</f>
        <v/>
      </c>
    </row>
    <row r="7">
      <c r="A7" s="5" t="inlineStr">
        <is>
          <t>Livraison (Distributions)</t>
        </is>
      </c>
      <c r="B7" s="5" t="inlineStr">
        <is>
          <t>Vendeur partenaire</t>
        </is>
      </c>
      <c r="C7" s="5">
        <f>COUNTIFS(Checklist!$B$4:$B$71,$A7,Checklist!$D$4:$D$71,$B7)</f>
        <v/>
      </c>
      <c r="D7" s="5">
        <f>COUNTIFS(Checklist!$B$4:$B$71,$A7,Checklist!$D$4:$D$71,$B7,Checklist!$G$4:$G$71,"Acquis")</f>
        <v/>
      </c>
      <c r="E7" s="5">
        <f>COUNTIFS(Checklist!$B$4:$B$71,$A7,Checklist!$D$4:$D$71,$B7,Checklist!$G$4:$G$71,"En cours")</f>
        <v/>
      </c>
      <c r="F7" s="5">
        <f>COUNTIFS(Checklist!$B$4:$B$71,$A7,Checklist!$D$4:$D$71,$B7,Checklist!$G$4:$G$71,"Non acquis")</f>
        <v/>
      </c>
      <c r="G7" s="6">
        <f>IF(C7=0,0,D7/C7)</f>
        <v/>
      </c>
    </row>
    <row r="8">
      <c r="A8" s="5" t="inlineStr">
        <is>
          <t>Livraison (Distributions)</t>
        </is>
      </c>
      <c r="B8" s="5" t="inlineStr">
        <is>
          <t>Caissier</t>
        </is>
      </c>
      <c r="C8" s="5">
        <f>COUNTIFS(Checklist!$B$4:$B$71,$A8,Checklist!$D$4:$D$71,$B8)</f>
        <v/>
      </c>
      <c r="D8" s="5">
        <f>COUNTIFS(Checklist!$B$4:$B$71,$A8,Checklist!$D$4:$D$71,$B8,Checklist!$G$4:$G$71,"Acquis")</f>
        <v/>
      </c>
      <c r="E8" s="5">
        <f>COUNTIFS(Checklist!$B$4:$B$71,$A8,Checklist!$D$4:$D$71,$B8,Checklist!$G$4:$G$71,"En cours")</f>
        <v/>
      </c>
      <c r="F8" s="5">
        <f>COUNTIFS(Checklist!$B$4:$B$71,$A8,Checklist!$D$4:$D$71,$B8,Checklist!$G$4:$G$71,"Non acquis")</f>
        <v/>
      </c>
      <c r="G8" s="6">
        <f>IF(C8=0,0,D8/C8)</f>
        <v/>
      </c>
    </row>
    <row r="9">
      <c r="A9" s="5" t="inlineStr">
        <is>
          <t>Livraison (Distributions)</t>
        </is>
      </c>
      <c r="B9" s="5" t="inlineStr">
        <is>
          <t>Direction générale</t>
        </is>
      </c>
      <c r="C9" s="5">
        <f>COUNTIFS(Checklist!$B$4:$B$71,$A9,Checklist!$D$4:$D$71,$B9)</f>
        <v/>
      </c>
      <c r="D9" s="5">
        <f>COUNTIFS(Checklist!$B$4:$B$71,$A9,Checklist!$D$4:$D$71,$B9,Checklist!$G$4:$G$71,"Acquis")</f>
        <v/>
      </c>
      <c r="E9" s="5">
        <f>COUNTIFS(Checklist!$B$4:$B$71,$A9,Checklist!$D$4:$D$71,$B9,Checklist!$G$4:$G$71,"En cours")</f>
        <v/>
      </c>
      <c r="F9" s="5">
        <f>COUNTIFS(Checklist!$B$4:$B$71,$A9,Checklist!$D$4:$D$71,$B9,Checklist!$G$4:$G$71,"Non acquis")</f>
        <v/>
      </c>
      <c r="G9" s="6">
        <f>IF(C9=0,0,D9/C9)</f>
        <v/>
      </c>
    </row>
    <row r="10">
      <c r="A10" s="5" t="inlineStr">
        <is>
          <t>Livraison (Distributions)</t>
        </is>
      </c>
      <c r="B10" s="5" t="inlineStr">
        <is>
          <t>Administrateur</t>
        </is>
      </c>
      <c r="C10" s="5">
        <f>COUNTIFS(Checklist!$B$4:$B$71,$A10,Checklist!$D$4:$D$71,$B10)</f>
        <v/>
      </c>
      <c r="D10" s="5">
        <f>COUNTIFS(Checklist!$B$4:$B$71,$A10,Checklist!$D$4:$D$71,$B10,Checklist!$G$4:$G$71,"Acquis")</f>
        <v/>
      </c>
      <c r="E10" s="5">
        <f>COUNTIFS(Checklist!$B$4:$B$71,$A10,Checklist!$D$4:$D$71,$B10,Checklist!$G$4:$G$71,"En cours")</f>
        <v/>
      </c>
      <c r="F10" s="5">
        <f>COUNTIFS(Checklist!$B$4:$B$71,$A10,Checklist!$D$4:$D$71,$B10,Checklist!$G$4:$G$71,"Non acquis")</f>
        <v/>
      </c>
      <c r="G10" s="6">
        <f>IF(C10=0,0,D10/C10)</f>
        <v/>
      </c>
    </row>
    <row r="11">
      <c r="A11" s="5" t="inlineStr">
        <is>
          <t>Gestion de taxi (Transport)</t>
        </is>
      </c>
      <c r="B11" s="5" t="inlineStr">
        <is>
          <t>Gestionnaire de flotte</t>
        </is>
      </c>
      <c r="C11" s="5">
        <f>COUNTIFS(Checklist!$B$4:$B$71,$A11,Checklist!$D$4:$D$71,$B11)</f>
        <v/>
      </c>
      <c r="D11" s="5">
        <f>COUNTIFS(Checklist!$B$4:$B$71,$A11,Checklist!$D$4:$D$71,$B11,Checklist!$G$4:$G$71,"Acquis")</f>
        <v/>
      </c>
      <c r="E11" s="5">
        <f>COUNTIFS(Checklist!$B$4:$B$71,$A11,Checklist!$D$4:$D$71,$B11,Checklist!$G$4:$G$71,"En cours")</f>
        <v/>
      </c>
      <c r="F11" s="5">
        <f>COUNTIFS(Checklist!$B$4:$B$71,$A11,Checklist!$D$4:$D$71,$B11,Checklist!$G$4:$G$71,"Non acquis")</f>
        <v/>
      </c>
      <c r="G11" s="6">
        <f>IF(C11=0,0,D11/C11)</f>
        <v/>
      </c>
    </row>
    <row r="12">
      <c r="A12" s="5" t="inlineStr">
        <is>
          <t>Gestion de taxi (Transport)</t>
        </is>
      </c>
      <c r="B12" s="5" t="inlineStr">
        <is>
          <t>Directeur / propriétaire</t>
        </is>
      </c>
      <c r="C12" s="5">
        <f>COUNTIFS(Checklist!$B$4:$B$71,$A12,Checklist!$D$4:$D$71,$B12)</f>
        <v/>
      </c>
      <c r="D12" s="5">
        <f>COUNTIFS(Checklist!$B$4:$B$71,$A12,Checklist!$D$4:$D$71,$B12,Checklist!$G$4:$G$71,"Acquis")</f>
        <v/>
      </c>
      <c r="E12" s="5">
        <f>COUNTIFS(Checklist!$B$4:$B$71,$A12,Checklist!$D$4:$D$71,$B12,Checklist!$G$4:$G$71,"En cours")</f>
        <v/>
      </c>
      <c r="F12" s="5">
        <f>COUNTIFS(Checklist!$B$4:$B$71,$A12,Checklist!$D$4:$D$71,$B12,Checklist!$G$4:$G$71,"Non acquis")</f>
        <v/>
      </c>
      <c r="G12" s="6">
        <f>IF(C12=0,0,D12/C12)</f>
        <v/>
      </c>
    </row>
    <row r="13">
      <c r="A13" s="5" t="inlineStr">
        <is>
          <t>Gestion de taxi (Transport)</t>
        </is>
      </c>
      <c r="B13" s="5" t="inlineStr">
        <is>
          <t>Caissier</t>
        </is>
      </c>
      <c r="C13" s="5">
        <f>COUNTIFS(Checklist!$B$4:$B$71,$A13,Checklist!$D$4:$D$71,$B13)</f>
        <v/>
      </c>
      <c r="D13" s="5">
        <f>COUNTIFS(Checklist!$B$4:$B$71,$A13,Checklist!$D$4:$D$71,$B13,Checklist!$G$4:$G$71,"Acquis")</f>
        <v/>
      </c>
      <c r="E13" s="5">
        <f>COUNTIFS(Checklist!$B$4:$B$71,$A13,Checklist!$D$4:$D$71,$B13,Checklist!$G$4:$G$71,"En cours")</f>
        <v/>
      </c>
      <c r="F13" s="5">
        <f>COUNTIFS(Checklist!$B$4:$B$71,$A13,Checklist!$D$4:$D$71,$B13,Checklist!$G$4:$G$71,"Non acquis")</f>
        <v/>
      </c>
      <c r="G13" s="6">
        <f>IF(C13=0,0,D13/C13)</f>
        <v/>
      </c>
    </row>
    <row r="14">
      <c r="A14" s="5" t="inlineStr">
        <is>
          <t>Gestion de taxi (Transport)</t>
        </is>
      </c>
      <c r="B14" s="5" t="inlineStr">
        <is>
          <t>Contrôleur</t>
        </is>
      </c>
      <c r="C14" s="5">
        <f>COUNTIFS(Checklist!$B$4:$B$71,$A14,Checklist!$D$4:$D$71,$B14)</f>
        <v/>
      </c>
      <c r="D14" s="5">
        <f>COUNTIFS(Checklist!$B$4:$B$71,$A14,Checklist!$D$4:$D$71,$B14,Checklist!$G$4:$G$71,"Acquis")</f>
        <v/>
      </c>
      <c r="E14" s="5">
        <f>COUNTIFS(Checklist!$B$4:$B$71,$A14,Checklist!$D$4:$D$71,$B14,Checklist!$G$4:$G$71,"En cours")</f>
        <v/>
      </c>
      <c r="F14" s="5">
        <f>COUNTIFS(Checklist!$B$4:$B$71,$A14,Checklist!$D$4:$D$71,$B14,Checklist!$G$4:$G$71,"Non acquis")</f>
        <v/>
      </c>
      <c r="G14" s="6">
        <f>IF(C14=0,0,D14/C14)</f>
        <v/>
      </c>
    </row>
    <row r="15">
      <c r="A15" s="5" t="inlineStr">
        <is>
          <t>Gestion de taxi (Transport)</t>
        </is>
      </c>
      <c r="B15" s="5" t="inlineStr">
        <is>
          <t>Comptable</t>
        </is>
      </c>
      <c r="C15" s="5">
        <f>COUNTIFS(Checklist!$B$4:$B$71,$A15,Checklist!$D$4:$D$71,$B15)</f>
        <v/>
      </c>
      <c r="D15" s="5">
        <f>COUNTIFS(Checklist!$B$4:$B$71,$A15,Checklist!$D$4:$D$71,$B15,Checklist!$G$4:$G$71,"Acquis")</f>
        <v/>
      </c>
      <c r="E15" s="5">
        <f>COUNTIFS(Checklist!$B$4:$B$71,$A15,Checklist!$D$4:$D$71,$B15,Checklist!$G$4:$G$71,"En cours")</f>
        <v/>
      </c>
      <c r="F15" s="5">
        <f>COUNTIFS(Checklist!$B$4:$B$71,$A15,Checklist!$D$4:$D$71,$B15,Checklist!$G$4:$G$71,"Non acquis")</f>
        <v/>
      </c>
      <c r="G15" s="6">
        <f>IF(C15=0,0,D15/C15)</f>
        <v/>
      </c>
    </row>
    <row r="16">
      <c r="A16" s="5" t="inlineStr">
        <is>
          <t>Gestion de taxi (Transport)</t>
        </is>
      </c>
      <c r="B16" s="5" t="inlineStr">
        <is>
          <t>Chauffeur taxi</t>
        </is>
      </c>
      <c r="C16" s="5">
        <f>COUNTIFS(Checklist!$B$4:$B$71,$A16,Checklist!$D$4:$D$71,$B16)</f>
        <v/>
      </c>
      <c r="D16" s="5">
        <f>COUNTIFS(Checklist!$B$4:$B$71,$A16,Checklist!$D$4:$D$71,$B16,Checklist!$G$4:$G$71,"Acquis")</f>
        <v/>
      </c>
      <c r="E16" s="5">
        <f>COUNTIFS(Checklist!$B$4:$B$71,$A16,Checklist!$D$4:$D$71,$B16,Checklist!$G$4:$G$71,"En cours")</f>
        <v/>
      </c>
      <c r="F16" s="5">
        <f>COUNTIFS(Checklist!$B$4:$B$71,$A16,Checklist!$D$4:$D$71,$B16,Checklist!$G$4:$G$71,"Non acquis")</f>
        <v/>
      </c>
      <c r="G16" s="6">
        <f>IF(C16=0,0,D16/C16)</f>
        <v/>
      </c>
    </row>
    <row r="17">
      <c r="A17" s="5" t="inlineStr">
        <is>
          <t>Gestion de taxi (Transport)</t>
        </is>
      </c>
      <c r="B17" s="5" t="inlineStr">
        <is>
          <t>Administrateur général</t>
        </is>
      </c>
      <c r="C17" s="5">
        <f>COUNTIFS(Checklist!$B$4:$B$71,$A17,Checklist!$D$4:$D$71,$B17)</f>
        <v/>
      </c>
      <c r="D17" s="5">
        <f>COUNTIFS(Checklist!$B$4:$B$71,$A17,Checklist!$D$4:$D$71,$B17,Checklist!$G$4:$G$71,"Acquis")</f>
        <v/>
      </c>
      <c r="E17" s="5">
        <f>COUNTIFS(Checklist!$B$4:$B$71,$A17,Checklist!$D$4:$D$71,$B17,Checklist!$G$4:$G$71,"En cours")</f>
        <v/>
      </c>
      <c r="F17" s="5">
        <f>COUNTIFS(Checklist!$B$4:$B$71,$A17,Checklist!$D$4:$D$71,$B17,Checklist!$G$4:$G$71,"Non acquis")</f>
        <v/>
      </c>
      <c r="G17" s="6">
        <f>IF(C17=0,0,D17/C17)</f>
        <v/>
      </c>
    </row>
    <row r="18">
      <c r="A18" s="5" t="inlineStr">
        <is>
          <t>Transversal (Groupe)</t>
        </is>
      </c>
      <c r="B18" s="5" t="inlineStr">
        <is>
          <t>Administrateur</t>
        </is>
      </c>
      <c r="C18" s="5">
        <f>COUNTIFS(Checklist!$B$4:$B$71,$A18,Checklist!$D$4:$D$71,$B18)</f>
        <v/>
      </c>
      <c r="D18" s="5">
        <f>COUNTIFS(Checklist!$B$4:$B$71,$A18,Checklist!$D$4:$D$71,$B18,Checklist!$G$4:$G$71,"Acquis")</f>
        <v/>
      </c>
      <c r="E18" s="5">
        <f>COUNTIFS(Checklist!$B$4:$B$71,$A18,Checklist!$D$4:$D$71,$B18,Checklist!$G$4:$G$71,"En cours")</f>
        <v/>
      </c>
      <c r="F18" s="5">
        <f>COUNTIFS(Checklist!$B$4:$B$71,$A18,Checklist!$D$4:$D$71,$B18,Checklist!$G$4:$G$71,"Non acquis")</f>
        <v/>
      </c>
      <c r="G18" s="6">
        <f>IF(C18=0,0,D18/C18)</f>
        <v/>
      </c>
    </row>
    <row r="19">
      <c r="A19" s="5" t="inlineStr">
        <is>
          <t>Transversal (Groupe)</t>
        </is>
      </c>
      <c r="B19" s="5" t="inlineStr">
        <is>
          <t>Direction générale</t>
        </is>
      </c>
      <c r="C19" s="5">
        <f>COUNTIFS(Checklist!$B$4:$B$71,$A19,Checklist!$D$4:$D$71,$B19)</f>
        <v/>
      </c>
      <c r="D19" s="5">
        <f>COUNTIFS(Checklist!$B$4:$B$71,$A19,Checklist!$D$4:$D$71,$B19,Checklist!$G$4:$G$71,"Acquis")</f>
        <v/>
      </c>
      <c r="E19" s="5">
        <f>COUNTIFS(Checklist!$B$4:$B$71,$A19,Checklist!$D$4:$D$71,$B19,Checklist!$G$4:$G$71,"En cours")</f>
        <v/>
      </c>
      <c r="F19" s="5">
        <f>COUNTIFS(Checklist!$B$4:$B$71,$A19,Checklist!$D$4:$D$71,$B19,Checklist!$G$4:$G$71,"Non acquis")</f>
        <v/>
      </c>
      <c r="G19" s="6">
        <f>IF(C19=0,0,D19/C19)</f>
        <v/>
      </c>
    </row>
    <row r="20">
      <c r="A20" s="5" t="inlineStr">
        <is>
          <t>Transversal (Groupe)</t>
        </is>
      </c>
      <c r="B20" s="5" t="inlineStr">
        <is>
          <t>Tous</t>
        </is>
      </c>
      <c r="C20" s="5">
        <f>COUNTIFS(Checklist!$B$4:$B$71,$A20,Checklist!$D$4:$D$71,$B20)</f>
        <v/>
      </c>
      <c r="D20" s="5">
        <f>COUNTIFS(Checklist!$B$4:$B$71,$A20,Checklist!$D$4:$D$71,$B20,Checklist!$G$4:$G$71,"Acquis")</f>
        <v/>
      </c>
      <c r="E20" s="5">
        <f>COUNTIFS(Checklist!$B$4:$B$71,$A20,Checklist!$D$4:$D$71,$B20,Checklist!$G$4:$G$71,"En cours")</f>
        <v/>
      </c>
      <c r="F20" s="5">
        <f>COUNTIFS(Checklist!$B$4:$B$71,$A20,Checklist!$D$4:$D$71,$B20,Checklist!$G$4:$G$71,"Non acquis")</f>
        <v/>
      </c>
      <c r="G20" s="6">
        <f>IF(C20=0,0,D20/C20)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2026-10-28T11:45:05Z</dcterms:created>
  <dcterms:modified xmlns:dcterms="http://purl.org/dc/terms/" xmlns:xsi="http://www.w3.org/2001/XMLSchema-instance" xsi:type="dcterms:W3CDTF">2026-10-28T11:45:05Z</dcterms:modified>
</cp:coreProperties>
</file>